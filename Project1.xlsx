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Pc4\Downloads\"/>
    </mc:Choice>
  </mc:AlternateContent>
  <bookViews>
    <workbookView xWindow="0" yWindow="0" windowWidth="28800" windowHeight="12315" activeTab="2"/>
  </bookViews>
  <sheets>
    <sheet name="Student Grade" sheetId="1" r:id="rId1"/>
    <sheet name="Sales data" sheetId="2" r:id="rId2"/>
    <sheet name="Employee data" sheetId="3" r:id="rId3"/>
  </sheets>
  <externalReferences>
    <externalReference r:id="rId4"/>
  </externalReferences>
  <definedNames>
    <definedName name="_xlnm._FilterDatabase" localSheetId="0" hidden="1">'Student Grade'!$B$1:$E$11</definedName>
    <definedName name="_xlcn.WorksheetConnection_EmployeeDataA1I221" hidden="1">'[1]Employee Data'!$A$1:$I$22</definedName>
  </definedNames>
  <calcPr calcId="152511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 1-e1a9311b-580b-4c22-b114-b4a5c0808637" name="Range 1" connection="WorksheetConnection_Employee Data!$A$1:$I$22"/>
        </x15:modelTables>
      </x15:dataModel>
    </ext>
  </extLst>
</workbook>
</file>

<file path=xl/calcChain.xml><?xml version="1.0" encoding="utf-8"?>
<calcChain xmlns="http://schemas.openxmlformats.org/spreadsheetml/2006/main">
  <c r="J9" i="3" l="1"/>
  <c r="I9" i="3"/>
  <c r="H9" i="3"/>
  <c r="G9" i="3"/>
  <c r="F9" i="3"/>
  <c r="J8" i="3"/>
  <c r="I8" i="3"/>
  <c r="H8" i="3"/>
  <c r="G8" i="3"/>
  <c r="F8" i="3"/>
  <c r="J7" i="3"/>
  <c r="I7" i="3"/>
  <c r="H7" i="3"/>
  <c r="G7" i="3"/>
  <c r="F7" i="3"/>
  <c r="J6" i="3"/>
  <c r="I6" i="3"/>
  <c r="H6" i="3"/>
  <c r="G6" i="3"/>
  <c r="F6" i="3"/>
  <c r="J5" i="3"/>
  <c r="I5" i="3"/>
  <c r="H5" i="3"/>
  <c r="G5" i="3"/>
  <c r="F5" i="3"/>
  <c r="J4" i="3"/>
  <c r="I4" i="3"/>
  <c r="H4" i="3"/>
  <c r="G4" i="3"/>
  <c r="F4" i="3"/>
  <c r="J3" i="3"/>
  <c r="I3" i="3"/>
  <c r="H3" i="3"/>
  <c r="G3" i="3"/>
  <c r="F3" i="3"/>
  <c r="J2" i="3"/>
  <c r="I2" i="3"/>
  <c r="H2" i="3"/>
  <c r="G2" i="3"/>
  <c r="F2" i="3"/>
  <c r="B35" i="2"/>
  <c r="B34" i="2"/>
  <c r="F24" i="2"/>
  <c r="B26" i="2"/>
  <c r="B31" i="2"/>
  <c r="F19" i="2"/>
  <c r="B28" i="2"/>
  <c r="I6" i="2"/>
  <c r="I11" i="2"/>
  <c r="J11" i="2" s="1"/>
  <c r="J3" i="2"/>
  <c r="J4" i="2"/>
  <c r="J5" i="2"/>
  <c r="J6" i="2"/>
  <c r="J7" i="2"/>
  <c r="J8" i="2"/>
  <c r="J9" i="2"/>
  <c r="J10" i="2"/>
  <c r="J2" i="2"/>
  <c r="I10" i="2"/>
  <c r="I9" i="2"/>
  <c r="I8" i="2"/>
  <c r="I7" i="2"/>
  <c r="I5" i="2"/>
  <c r="I4" i="2"/>
  <c r="I3" i="2"/>
  <c r="I2" i="2"/>
  <c r="H3" i="2"/>
  <c r="H4" i="2"/>
  <c r="H5" i="2"/>
  <c r="H6" i="2"/>
  <c r="H7" i="2"/>
  <c r="H8" i="2"/>
  <c r="H9" i="2"/>
  <c r="H10" i="2"/>
  <c r="H11" i="2"/>
  <c r="H2" i="2"/>
  <c r="B25" i="1"/>
  <c r="E21" i="1"/>
  <c r="E22" i="1"/>
  <c r="B24" i="1"/>
  <c r="B23" i="1"/>
  <c r="L3" i="1" l="1"/>
  <c r="L4" i="1"/>
  <c r="L5" i="1"/>
  <c r="L6" i="1"/>
  <c r="L7" i="1"/>
  <c r="L8" i="1"/>
  <c r="L9" i="1"/>
  <c r="L10" i="1"/>
  <c r="L11" i="1"/>
  <c r="L2" i="1"/>
  <c r="K3" i="1"/>
  <c r="K4" i="1"/>
  <c r="K5" i="1"/>
  <c r="K6" i="1"/>
  <c r="K7" i="1"/>
  <c r="K8" i="1"/>
  <c r="K9" i="1"/>
  <c r="K10" i="1"/>
  <c r="K11" i="1"/>
  <c r="K2" i="1"/>
  <c r="G3" i="1" l="1"/>
  <c r="I3" i="1" s="1"/>
  <c r="G4" i="1"/>
  <c r="I4" i="1" s="1"/>
  <c r="G5" i="1"/>
  <c r="I5" i="1" s="1"/>
  <c r="G6" i="1"/>
  <c r="I6" i="1" s="1"/>
  <c r="G7" i="1"/>
  <c r="I7" i="1" s="1"/>
  <c r="G8" i="1"/>
  <c r="I8" i="1" s="1"/>
  <c r="G9" i="1"/>
  <c r="I9" i="1" s="1"/>
  <c r="G10" i="1"/>
  <c r="I10" i="1" s="1"/>
  <c r="G11" i="1"/>
  <c r="I11" i="1" s="1"/>
  <c r="G2" i="1"/>
  <c r="I2" i="1" s="1"/>
  <c r="D20" i="3" l="1"/>
  <c r="D19" i="3"/>
  <c r="D16" i="3"/>
  <c r="D15" i="3"/>
  <c r="B33" i="2"/>
  <c r="B32" i="2"/>
  <c r="F20" i="2"/>
  <c r="D24" i="3"/>
  <c r="F18" i="2" l="1"/>
  <c r="F16" i="2"/>
  <c r="F15" i="2"/>
  <c r="G3" i="2"/>
  <c r="G4" i="2"/>
  <c r="G5" i="2"/>
  <c r="G6" i="2"/>
  <c r="G7" i="2"/>
  <c r="G8" i="2"/>
  <c r="G9" i="2"/>
  <c r="G10" i="2"/>
  <c r="G11" i="2"/>
  <c r="G2" i="2"/>
  <c r="B19" i="1"/>
  <c r="B18" i="1"/>
  <c r="B17" i="1"/>
  <c r="J3" i="1"/>
  <c r="J4" i="1"/>
  <c r="J5" i="1"/>
  <c r="J6" i="1"/>
  <c r="J7" i="1"/>
  <c r="J8" i="1"/>
  <c r="J9" i="1"/>
  <c r="J10" i="1"/>
  <c r="J11" i="1"/>
  <c r="J2" i="1"/>
  <c r="H3" i="1"/>
  <c r="H4" i="1"/>
  <c r="H5" i="1"/>
  <c r="H6" i="1"/>
  <c r="H7" i="1"/>
  <c r="H8" i="1"/>
  <c r="H9" i="1"/>
  <c r="H10" i="1"/>
  <c r="H11" i="1"/>
  <c r="H2" i="1"/>
  <c r="F3" i="1" l="1"/>
  <c r="F4" i="1"/>
  <c r="F5" i="1"/>
  <c r="F6" i="1"/>
  <c r="F7" i="1"/>
  <c r="F8" i="1"/>
  <c r="F9" i="1"/>
  <c r="F10" i="1"/>
  <c r="F11" i="1"/>
  <c r="F2" i="1"/>
</calcChain>
</file>

<file path=xl/connections.xml><?xml version="1.0" encoding="utf-8"?>
<connections xmlns="http://schemas.openxmlformats.org/spreadsheetml/2006/main">
  <connection id="1" keepAlive="1" name="ThisWorkbookDataModel" description="Data Model" type="5" refreshedVersion="5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Employee Data!$A$1:$I$22" type="102" refreshedVersion="5" minRefreshableVersion="5">
    <extLst>
      <ext xmlns:x15="http://schemas.microsoft.com/office/spreadsheetml/2010/11/main" uri="{DE250136-89BD-433C-8126-D09CA5730AF9}">
        <x15:connection id="Range 1-e1a9311b-580b-4c22-b114-b4a5c0808637" autoDelete="1">
          <x15:rangePr sourceName="_xlcn.WorksheetConnection_EmployeeDataA1I221"/>
        </x15:connection>
      </ext>
    </extLst>
  </connection>
</connections>
</file>

<file path=xl/sharedStrings.xml><?xml version="1.0" encoding="utf-8"?>
<sst xmlns="http://schemas.openxmlformats.org/spreadsheetml/2006/main" count="149" uniqueCount="133">
  <si>
    <t>Student ID</t>
  </si>
  <si>
    <t>Name</t>
  </si>
  <si>
    <t>Math</t>
  </si>
  <si>
    <t>Science</t>
  </si>
  <si>
    <t>English</t>
  </si>
  <si>
    <t>S101</t>
  </si>
  <si>
    <t>Aarav Sharma</t>
  </si>
  <si>
    <t>S102</t>
  </si>
  <si>
    <t>Diya Patel</t>
  </si>
  <si>
    <t>S103</t>
  </si>
  <si>
    <t>Kabir Singh</t>
  </si>
  <si>
    <t>S104</t>
  </si>
  <si>
    <t>Ananya Gupta</t>
  </si>
  <si>
    <t>S105</t>
  </si>
  <si>
    <t>Vihaan Reddy</t>
  </si>
  <si>
    <t>S106</t>
  </si>
  <si>
    <t>Ishita Rao</t>
  </si>
  <si>
    <t>S107</t>
  </si>
  <si>
    <t>Aditya Nair</t>
  </si>
  <si>
    <t>S108</t>
  </si>
  <si>
    <t>Meera Iyer</t>
  </si>
  <si>
    <t>S109</t>
  </si>
  <si>
    <t>Reyansh Joshi</t>
  </si>
  <si>
    <t>S110</t>
  </si>
  <si>
    <t>Saanvi Kapoor</t>
  </si>
  <si>
    <t>Grade</t>
  </si>
  <si>
    <t>Pass Both M&amp;S &gt; 80(AND)</t>
  </si>
  <si>
    <t>Average</t>
  </si>
  <si>
    <t>Summary formulas</t>
  </si>
  <si>
    <t>Above 50 in maths (COUNTIF)</t>
  </si>
  <si>
    <t>Above scoring 60 M&amp;S (Countifs)</t>
  </si>
  <si>
    <t>Lookup a Student ID to find Name:</t>
  </si>
  <si>
    <t>Vlookup name:</t>
  </si>
  <si>
    <t>index/match</t>
  </si>
  <si>
    <t>Average score  who scored above 60 in Math (Averageif)</t>
  </si>
  <si>
    <t>Product Code</t>
  </si>
  <si>
    <t>Product</t>
  </si>
  <si>
    <t>Region</t>
  </si>
  <si>
    <t>Price</t>
  </si>
  <si>
    <t>Units Sold</t>
  </si>
  <si>
    <t>Sale Date</t>
  </si>
  <si>
    <t>P001</t>
  </si>
  <si>
    <t>Laptop</t>
  </si>
  <si>
    <t>North</t>
  </si>
  <si>
    <t>P002</t>
  </si>
  <si>
    <t>Mouse</t>
  </si>
  <si>
    <t>South</t>
  </si>
  <si>
    <t>P003</t>
  </si>
  <si>
    <t>Keyboard</t>
  </si>
  <si>
    <t>East</t>
  </si>
  <si>
    <t>P004</t>
  </si>
  <si>
    <t>Monitor</t>
  </si>
  <si>
    <t>West</t>
  </si>
  <si>
    <t>P005</t>
  </si>
  <si>
    <t>Printer</t>
  </si>
  <si>
    <t>P006</t>
  </si>
  <si>
    <t>Webcam</t>
  </si>
  <si>
    <t>P007</t>
  </si>
  <si>
    <t>Router</t>
  </si>
  <si>
    <t>P008</t>
  </si>
  <si>
    <t>Speaker</t>
  </si>
  <si>
    <t>P009</t>
  </si>
  <si>
    <t>Headphones</t>
  </si>
  <si>
    <t>P010</t>
  </si>
  <si>
    <t>Tablet</t>
  </si>
  <si>
    <t>Discount (Nested IF)</t>
  </si>
  <si>
    <t>Total Sales for Region = North &amp; Product = Laptop (SUMIFS):</t>
  </si>
  <si>
    <t>Total Units sold in South region (SUMIF):</t>
  </si>
  <si>
    <t>vlookup</t>
  </si>
  <si>
    <t>Enter product</t>
  </si>
  <si>
    <t>xlookup</t>
  </si>
  <si>
    <t>OFFSET: dynamic 3-month sales trend from row 2 for Price column:</t>
  </si>
  <si>
    <t>Start Row Offset (0=first data row):</t>
  </si>
  <si>
    <t>Number of rows to show:</t>
  </si>
  <si>
    <t>Dynamic Range Sum (OFFSET+SUM):</t>
  </si>
  <si>
    <t>INDIRECT: reference built from text (points to D2):</t>
  </si>
  <si>
    <t>Math Functions on Price column:</t>
  </si>
  <si>
    <t>ROUND(avg price,0):</t>
  </si>
  <si>
    <t>CEILING(avg price,100):</t>
  </si>
  <si>
    <t>FLOOR(avg price,100):</t>
  </si>
  <si>
    <t>Employee ID</t>
  </si>
  <si>
    <t>Full Name</t>
  </si>
  <si>
    <t>Date of Birth</t>
  </si>
  <si>
    <t>Date of Joining</t>
  </si>
  <si>
    <t>Salary</t>
  </si>
  <si>
    <t>E001</t>
  </si>
  <si>
    <t>Rohan Verma</t>
  </si>
  <si>
    <t>E002</t>
  </si>
  <si>
    <t>Priya Malhotra</t>
  </si>
  <si>
    <t>E003</t>
  </si>
  <si>
    <t>Karan Mehta</t>
  </si>
  <si>
    <t>E004</t>
  </si>
  <si>
    <t>Sneha Bhatt</t>
  </si>
  <si>
    <t>E005</t>
  </si>
  <si>
    <t>Arjun Chawla</t>
  </si>
  <si>
    <t>E006</t>
  </si>
  <si>
    <t>Neha Kulkarni</t>
  </si>
  <si>
    <t>E007</t>
  </si>
  <si>
    <t>Vikram Sethi</t>
  </si>
  <si>
    <t>E008</t>
  </si>
  <si>
    <t>Pooja Desai</t>
  </si>
  <si>
    <t>First name (text)</t>
  </si>
  <si>
    <t>Name (upper)</t>
  </si>
  <si>
    <t>Name(Lower)</t>
  </si>
  <si>
    <t>Age</t>
  </si>
  <si>
    <t>tenture(day)</t>
  </si>
  <si>
    <t>Enter EnployeeID</t>
  </si>
  <si>
    <t>XLOOKUP Salary</t>
  </si>
  <si>
    <t>Index/Match joinning date</t>
  </si>
  <si>
    <t>Vlookup Full Name</t>
  </si>
  <si>
    <t>Count of employees with Salary &gt; 60000 (COUNTIF):</t>
  </si>
  <si>
    <t>Average Salary of employees joined after 2018 (AVERAGEIFS):</t>
  </si>
  <si>
    <t>indirect</t>
  </si>
  <si>
    <t>Sheet/range as text</t>
  </si>
  <si>
    <t>E2:e9</t>
  </si>
  <si>
    <t>sum vie indirect</t>
  </si>
  <si>
    <t>Total</t>
  </si>
  <si>
    <t>Percentage</t>
  </si>
  <si>
    <t>Name UPPER</t>
  </si>
  <si>
    <t>Name LOWER</t>
  </si>
  <si>
    <t>Total Student</t>
  </si>
  <si>
    <t>Highes Student Number</t>
  </si>
  <si>
    <t>Fail Student</t>
  </si>
  <si>
    <t>Total Sales</t>
  </si>
  <si>
    <t>Delivery Date</t>
  </si>
  <si>
    <t>Days of delivery</t>
  </si>
  <si>
    <t xml:space="preserve">North Region Laptop Sales </t>
  </si>
  <si>
    <t>product Code P005 Product price</t>
  </si>
  <si>
    <t>Department</t>
  </si>
  <si>
    <t>IT</t>
  </si>
  <si>
    <t>FINANCE</t>
  </si>
  <si>
    <t>SALES</t>
  </si>
  <si>
    <t>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</si>
</sst>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-mm\-yyyy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sz val="11"/>
      <color theme="1"/>
      <name val="Arial"/>
      <charset val="1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FFFF99"/>
        <bgColor rgb="FFFFFFCC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7" tint="0.59999389629810485"/>
        <bgColor indexed="65"/>
      </patternFill>
    </fill>
  </fills>
  <borders count="5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5">
    <xf numFmtId="0" fontId="0" fillId="0" borderId="0"/>
    <xf numFmtId="0" fontId="1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4" fillId="5" borderId="0" applyNumberFormat="0" applyBorder="0" applyAlignment="0" applyProtection="0"/>
  </cellStyleXfs>
  <cellXfs count="28">
    <xf numFmtId="0" fontId="0" fillId="0" borderId="0" xfId="0"/>
    <xf numFmtId="0" fontId="3" fillId="0" borderId="0" xfId="0" applyFont="1"/>
    <xf numFmtId="0" fontId="2" fillId="0" borderId="0" xfId="0" applyFont="1"/>
    <xf numFmtId="0" fontId="0" fillId="0" borderId="2" xfId="0" applyBorder="1"/>
    <xf numFmtId="0" fontId="0" fillId="0" borderId="0" xfId="0" applyBorder="1"/>
    <xf numFmtId="0" fontId="5" fillId="3" borderId="2" xfId="2" applyBorder="1"/>
    <xf numFmtId="0" fontId="5" fillId="3" borderId="2" xfId="2" applyBorder="1" applyAlignment="1"/>
    <xf numFmtId="2" fontId="5" fillId="3" borderId="2" xfId="2" applyNumberFormat="1" applyBorder="1"/>
    <xf numFmtId="0" fontId="4" fillId="5" borderId="2" xfId="4" applyBorder="1" applyAlignment="1"/>
    <xf numFmtId="0" fontId="4" fillId="5" borderId="2" xfId="4" applyBorder="1"/>
    <xf numFmtId="0" fontId="4" fillId="5" borderId="0" xfId="4"/>
    <xf numFmtId="0" fontId="6" fillId="4" borderId="2" xfId="3" applyBorder="1" applyAlignment="1">
      <alignment horizontal="center"/>
    </xf>
    <xf numFmtId="0" fontId="6" fillId="4" borderId="2" xfId="3" applyBorder="1" applyAlignment="1"/>
    <xf numFmtId="0" fontId="6" fillId="4" borderId="2" xfId="3" applyBorder="1"/>
    <xf numFmtId="0" fontId="6" fillId="4" borderId="1" xfId="3" applyBorder="1" applyAlignment="1">
      <alignment horizontal="center"/>
    </xf>
    <xf numFmtId="0" fontId="6" fillId="4" borderId="0" xfId="3"/>
    <xf numFmtId="0" fontId="6" fillId="4" borderId="0" xfId="3" applyBorder="1"/>
    <xf numFmtId="0" fontId="5" fillId="3" borderId="0" xfId="2"/>
    <xf numFmtId="3" fontId="5" fillId="3" borderId="2" xfId="2" applyNumberFormat="1" applyBorder="1" applyAlignment="1"/>
    <xf numFmtId="164" fontId="5" fillId="3" borderId="2" xfId="2" applyNumberFormat="1" applyBorder="1" applyAlignment="1"/>
    <xf numFmtId="0" fontId="2" fillId="0" borderId="2" xfId="0" applyFont="1" applyBorder="1"/>
    <xf numFmtId="0" fontId="2" fillId="2" borderId="2" xfId="0" applyFont="1" applyFill="1" applyBorder="1" applyAlignment="1"/>
    <xf numFmtId="0" fontId="2" fillId="0" borderId="2" xfId="0" applyFont="1" applyBorder="1" applyAlignment="1"/>
    <xf numFmtId="3" fontId="2" fillId="0" borderId="2" xfId="0" applyNumberFormat="1" applyFont="1" applyBorder="1" applyAlignment="1"/>
    <xf numFmtId="0" fontId="5" fillId="3" borderId="0" xfId="2" applyBorder="1"/>
    <xf numFmtId="0" fontId="7" fillId="0" borderId="4" xfId="0" applyFont="1" applyBorder="1" applyAlignment="1">
      <alignment horizontal="center"/>
    </xf>
    <xf numFmtId="164" fontId="5" fillId="3" borderId="2" xfId="2" applyNumberFormat="1" applyBorder="1"/>
    <xf numFmtId="0" fontId="6" fillId="4" borderId="3" xfId="3" applyBorder="1" applyAlignment="1">
      <alignment horizontal="center"/>
    </xf>
  </cellXfs>
  <cellStyles count="5">
    <cellStyle name="40% - Accent4" xfId="4" builtinId="43"/>
    <cellStyle name="Good" xfId="2" builtinId="26"/>
    <cellStyle name="Neutral" xfId="3" builtinId="28"/>
    <cellStyle name="Normal" xfId="0" builtinId="0"/>
    <cellStyle name="Normal 2" xfId="1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powerPivotData" Target="model/item.data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xcel%20projects/Pr%201%20Fundatmental%20Booster-Excel/Excel_fundamental_boost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udents Data"/>
      <sheetName val="Sales Data"/>
      <sheetName val="Employee Data"/>
    </sheetNames>
    <sheetDataSet>
      <sheetData sheetId="0" refreshError="1"/>
      <sheetData sheetId="1" refreshError="1"/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7"/>
  <sheetViews>
    <sheetView zoomScale="130" zoomScaleNormal="130" workbookViewId="0">
      <selection activeCell="H27" sqref="H27"/>
    </sheetView>
  </sheetViews>
  <sheetFormatPr defaultRowHeight="15" x14ac:dyDescent="0.25"/>
  <cols>
    <col min="1" max="1" width="55.28515625" bestFit="1" customWidth="1"/>
    <col min="2" max="2" width="15.7109375" bestFit="1" customWidth="1"/>
    <col min="3" max="3" width="12.85546875" bestFit="1" customWidth="1"/>
    <col min="4" max="4" width="16" bestFit="1" customWidth="1"/>
    <col min="5" max="5" width="15.42578125" bestFit="1" customWidth="1"/>
    <col min="6" max="6" width="7.42578125" bestFit="1" customWidth="1"/>
    <col min="7" max="7" width="6.140625" bestFit="1" customWidth="1"/>
    <col min="8" max="8" width="27.85546875" bestFit="1" customWidth="1"/>
    <col min="9" max="9" width="12.85546875" bestFit="1" customWidth="1"/>
    <col min="10" max="10" width="10" bestFit="1" customWidth="1"/>
    <col min="11" max="11" width="18.5703125" bestFit="1" customWidth="1"/>
    <col min="12" max="12" width="15.28515625" bestFit="1" customWidth="1"/>
  </cols>
  <sheetData>
    <row r="1" spans="1:12" x14ac:dyDescent="0.25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25</v>
      </c>
      <c r="G1" s="14" t="s">
        <v>116</v>
      </c>
      <c r="H1" s="14" t="s">
        <v>26</v>
      </c>
      <c r="I1" s="14" t="s">
        <v>117</v>
      </c>
      <c r="J1" s="14" t="s">
        <v>27</v>
      </c>
      <c r="K1" s="14" t="s">
        <v>118</v>
      </c>
      <c r="L1" s="14" t="s">
        <v>119</v>
      </c>
    </row>
    <row r="2" spans="1:12" x14ac:dyDescent="0.25">
      <c r="A2" s="6" t="s">
        <v>5</v>
      </c>
      <c r="B2" s="6" t="s">
        <v>6</v>
      </c>
      <c r="C2" s="6">
        <v>92</v>
      </c>
      <c r="D2" s="6">
        <v>88</v>
      </c>
      <c r="E2" s="6">
        <v>75</v>
      </c>
      <c r="F2" s="5" t="str">
        <f>IF(AVERAGE(C2:E2)&gt;=90,"A",IF(AVERAGE(C2:E2)&gt;=75,"B",IF(AVERAGE(C2:E2)&gt;=60,"C","D")))</f>
        <v>B</v>
      </c>
      <c r="G2" s="5">
        <f>SUM(C2:E2)</f>
        <v>255</v>
      </c>
      <c r="H2" s="5" t="str">
        <f>IF(AND(C2&gt;80,D2&gt;80),"Yes","No")</f>
        <v>Yes</v>
      </c>
      <c r="I2" s="7">
        <f>(G2/300)*100</f>
        <v>85</v>
      </c>
      <c r="J2" s="7">
        <f>AVERAGE(C2:E2)</f>
        <v>85</v>
      </c>
      <c r="K2" s="5" t="str">
        <f>UPPER(B2)</f>
        <v>AARAV SHARMA</v>
      </c>
      <c r="L2" s="5" t="str">
        <f>LOWER(B2)</f>
        <v>aarav sharma</v>
      </c>
    </row>
    <row r="3" spans="1:12" x14ac:dyDescent="0.25">
      <c r="A3" s="6" t="s">
        <v>7</v>
      </c>
      <c r="B3" s="6" t="s">
        <v>8</v>
      </c>
      <c r="C3" s="6">
        <v>67</v>
      </c>
      <c r="D3" s="6">
        <v>55</v>
      </c>
      <c r="E3" s="6">
        <v>60</v>
      </c>
      <c r="F3" s="5" t="str">
        <f t="shared" ref="F3:F11" si="0">IF(AVERAGE(C3:E3)&gt;=90,"A",IF(AVERAGE(C3:E3)&gt;=75,"B",IF(AVERAGE(C3:E3)&gt;=60,"C","D")))</f>
        <v>C</v>
      </c>
      <c r="G3" s="5">
        <f t="shared" ref="G3:G11" si="1">SUM(C3:E3)</f>
        <v>182</v>
      </c>
      <c r="H3" s="5" t="str">
        <f t="shared" ref="H3:H11" si="2">IF(AND(C3&gt;80,D3&gt;80),"Yes","No")</f>
        <v>No</v>
      </c>
      <c r="I3" s="7">
        <f>(G3/300)*100</f>
        <v>60.666666666666671</v>
      </c>
      <c r="J3" s="7">
        <f t="shared" ref="J3:J11" si="3">AVERAGE(C3:E3)</f>
        <v>60.666666666666664</v>
      </c>
      <c r="K3" s="5" t="str">
        <f t="shared" ref="K3:K11" si="4">UPPER(B3)</f>
        <v>DIYA PATEL</v>
      </c>
      <c r="L3" s="5" t="str">
        <f t="shared" ref="L3:L11" si="5">LOWER(B3)</f>
        <v>diya patel</v>
      </c>
    </row>
    <row r="4" spans="1:12" x14ac:dyDescent="0.25">
      <c r="A4" s="6" t="s">
        <v>9</v>
      </c>
      <c r="B4" s="6" t="s">
        <v>10</v>
      </c>
      <c r="C4" s="6">
        <v>45</v>
      </c>
      <c r="D4" s="6">
        <v>38</v>
      </c>
      <c r="E4" s="6">
        <v>50</v>
      </c>
      <c r="F4" s="5" t="str">
        <f t="shared" si="0"/>
        <v>D</v>
      </c>
      <c r="G4" s="5">
        <f t="shared" si="1"/>
        <v>133</v>
      </c>
      <c r="H4" s="5" t="str">
        <f t="shared" si="2"/>
        <v>No</v>
      </c>
      <c r="I4" s="7">
        <f t="shared" ref="I4:I11" si="6">(G4/300)*100</f>
        <v>44.333333333333336</v>
      </c>
      <c r="J4" s="7">
        <f t="shared" si="3"/>
        <v>44.333333333333336</v>
      </c>
      <c r="K4" s="5" t="str">
        <f t="shared" si="4"/>
        <v>KABIR SINGH</v>
      </c>
      <c r="L4" s="5" t="str">
        <f t="shared" si="5"/>
        <v>kabir singh</v>
      </c>
    </row>
    <row r="5" spans="1:12" x14ac:dyDescent="0.25">
      <c r="A5" s="6" t="s">
        <v>11</v>
      </c>
      <c r="B5" s="6" t="s">
        <v>12</v>
      </c>
      <c r="C5" s="6">
        <v>81</v>
      </c>
      <c r="D5" s="6">
        <v>85</v>
      </c>
      <c r="E5" s="6">
        <v>79</v>
      </c>
      <c r="F5" s="5" t="str">
        <f t="shared" si="0"/>
        <v>B</v>
      </c>
      <c r="G5" s="5">
        <f t="shared" si="1"/>
        <v>245</v>
      </c>
      <c r="H5" s="5" t="str">
        <f t="shared" si="2"/>
        <v>Yes</v>
      </c>
      <c r="I5" s="7">
        <f t="shared" si="6"/>
        <v>81.666666666666671</v>
      </c>
      <c r="J5" s="7">
        <f t="shared" si="3"/>
        <v>81.666666666666671</v>
      </c>
      <c r="K5" s="5" t="str">
        <f t="shared" si="4"/>
        <v>ANANYA GUPTA</v>
      </c>
      <c r="L5" s="5" t="str">
        <f t="shared" si="5"/>
        <v>ananya gupta</v>
      </c>
    </row>
    <row r="6" spans="1:12" x14ac:dyDescent="0.25">
      <c r="A6" s="6" t="s">
        <v>13</v>
      </c>
      <c r="B6" s="6" t="s">
        <v>14</v>
      </c>
      <c r="C6" s="6">
        <v>58</v>
      </c>
      <c r="D6" s="6">
        <v>62</v>
      </c>
      <c r="E6" s="6">
        <v>65</v>
      </c>
      <c r="F6" s="5" t="str">
        <f t="shared" si="0"/>
        <v>C</v>
      </c>
      <c r="G6" s="5">
        <f t="shared" si="1"/>
        <v>185</v>
      </c>
      <c r="H6" s="5" t="str">
        <f t="shared" si="2"/>
        <v>No</v>
      </c>
      <c r="I6" s="7">
        <f t="shared" si="6"/>
        <v>61.666666666666671</v>
      </c>
      <c r="J6" s="7">
        <f t="shared" si="3"/>
        <v>61.666666666666664</v>
      </c>
      <c r="K6" s="5" t="str">
        <f t="shared" si="4"/>
        <v>VIHAAN REDDY</v>
      </c>
      <c r="L6" s="5" t="str">
        <f t="shared" si="5"/>
        <v>vihaan reddy</v>
      </c>
    </row>
    <row r="7" spans="1:12" x14ac:dyDescent="0.25">
      <c r="A7" s="6" t="s">
        <v>15</v>
      </c>
      <c r="B7" s="6" t="s">
        <v>16</v>
      </c>
      <c r="C7" s="6">
        <v>95</v>
      </c>
      <c r="D7" s="6">
        <v>91</v>
      </c>
      <c r="E7" s="6">
        <v>89</v>
      </c>
      <c r="F7" s="5" t="str">
        <f t="shared" si="0"/>
        <v>A</v>
      </c>
      <c r="G7" s="5">
        <f t="shared" si="1"/>
        <v>275</v>
      </c>
      <c r="H7" s="5" t="str">
        <f t="shared" si="2"/>
        <v>Yes</v>
      </c>
      <c r="I7" s="7">
        <f t="shared" si="6"/>
        <v>91.666666666666657</v>
      </c>
      <c r="J7" s="7">
        <f t="shared" si="3"/>
        <v>91.666666666666671</v>
      </c>
      <c r="K7" s="5" t="str">
        <f t="shared" si="4"/>
        <v>ISHITA RAO</v>
      </c>
      <c r="L7" s="5" t="str">
        <f t="shared" si="5"/>
        <v>ishita rao</v>
      </c>
    </row>
    <row r="8" spans="1:12" x14ac:dyDescent="0.25">
      <c r="A8" s="6" t="s">
        <v>17</v>
      </c>
      <c r="B8" s="6" t="s">
        <v>18</v>
      </c>
      <c r="C8" s="6">
        <v>30</v>
      </c>
      <c r="D8" s="6">
        <v>40</v>
      </c>
      <c r="E8" s="6">
        <v>35</v>
      </c>
      <c r="F8" s="5" t="str">
        <f t="shared" si="0"/>
        <v>D</v>
      </c>
      <c r="G8" s="5">
        <f t="shared" si="1"/>
        <v>105</v>
      </c>
      <c r="H8" s="5" t="str">
        <f t="shared" si="2"/>
        <v>No</v>
      </c>
      <c r="I8" s="7">
        <f t="shared" si="6"/>
        <v>35</v>
      </c>
      <c r="J8" s="7">
        <f t="shared" si="3"/>
        <v>35</v>
      </c>
      <c r="K8" s="5" t="str">
        <f t="shared" si="4"/>
        <v>ADITYA NAIR</v>
      </c>
      <c r="L8" s="5" t="str">
        <f t="shared" si="5"/>
        <v>aditya nair</v>
      </c>
    </row>
    <row r="9" spans="1:12" x14ac:dyDescent="0.25">
      <c r="A9" s="6" t="s">
        <v>19</v>
      </c>
      <c r="B9" s="6" t="s">
        <v>20</v>
      </c>
      <c r="C9" s="6">
        <v>73</v>
      </c>
      <c r="D9" s="6">
        <v>68</v>
      </c>
      <c r="E9" s="6">
        <v>71</v>
      </c>
      <c r="F9" s="5" t="str">
        <f t="shared" si="0"/>
        <v>C</v>
      </c>
      <c r="G9" s="5">
        <f t="shared" si="1"/>
        <v>212</v>
      </c>
      <c r="H9" s="5" t="str">
        <f t="shared" si="2"/>
        <v>No</v>
      </c>
      <c r="I9" s="7">
        <f t="shared" si="6"/>
        <v>70.666666666666671</v>
      </c>
      <c r="J9" s="7">
        <f t="shared" si="3"/>
        <v>70.666666666666671</v>
      </c>
      <c r="K9" s="5" t="str">
        <f t="shared" si="4"/>
        <v>MEERA IYER</v>
      </c>
      <c r="L9" s="5" t="str">
        <f t="shared" si="5"/>
        <v>meera iyer</v>
      </c>
    </row>
    <row r="10" spans="1:12" x14ac:dyDescent="0.25">
      <c r="A10" s="6" t="s">
        <v>21</v>
      </c>
      <c r="B10" s="6" t="s">
        <v>22</v>
      </c>
      <c r="C10" s="6">
        <v>88</v>
      </c>
      <c r="D10" s="6">
        <v>82</v>
      </c>
      <c r="E10" s="6">
        <v>84</v>
      </c>
      <c r="F10" s="5" t="str">
        <f t="shared" si="0"/>
        <v>B</v>
      </c>
      <c r="G10" s="5">
        <f t="shared" si="1"/>
        <v>254</v>
      </c>
      <c r="H10" s="5" t="str">
        <f t="shared" si="2"/>
        <v>Yes</v>
      </c>
      <c r="I10" s="7">
        <f t="shared" si="6"/>
        <v>84.666666666666671</v>
      </c>
      <c r="J10" s="7">
        <f t="shared" si="3"/>
        <v>84.666666666666671</v>
      </c>
      <c r="K10" s="5" t="str">
        <f t="shared" si="4"/>
        <v>REYANSH JOSHI</v>
      </c>
      <c r="L10" s="5" t="str">
        <f t="shared" si="5"/>
        <v>reyansh joshi</v>
      </c>
    </row>
    <row r="11" spans="1:12" x14ac:dyDescent="0.25">
      <c r="A11" s="6" t="s">
        <v>23</v>
      </c>
      <c r="B11" s="6" t="s">
        <v>24</v>
      </c>
      <c r="C11" s="6">
        <v>50</v>
      </c>
      <c r="D11" s="6">
        <v>50</v>
      </c>
      <c r="E11" s="6">
        <v>55</v>
      </c>
      <c r="F11" s="5" t="str">
        <f t="shared" si="0"/>
        <v>D</v>
      </c>
      <c r="G11" s="5">
        <f t="shared" si="1"/>
        <v>155</v>
      </c>
      <c r="H11" s="5" t="str">
        <f t="shared" si="2"/>
        <v>No</v>
      </c>
      <c r="I11" s="7">
        <f t="shared" si="6"/>
        <v>51.666666666666671</v>
      </c>
      <c r="J11" s="7">
        <f t="shared" si="3"/>
        <v>51.666666666666664</v>
      </c>
      <c r="K11" s="5" t="str">
        <f t="shared" si="4"/>
        <v>SAANVI KAPOOR</v>
      </c>
      <c r="L11" s="5" t="str">
        <f t="shared" si="5"/>
        <v>saanvi kapoor</v>
      </c>
    </row>
    <row r="12" spans="1:12" x14ac:dyDescent="0.25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1:12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</row>
    <row r="14" spans="1:12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1:12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</row>
    <row r="16" spans="1:12" x14ac:dyDescent="0.25">
      <c r="A16" s="13" t="s">
        <v>28</v>
      </c>
      <c r="B16" s="5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1:12" x14ac:dyDescent="0.25">
      <c r="A17" s="13" t="s">
        <v>29</v>
      </c>
      <c r="B17" s="5">
        <f>COUNTIF(C2:C11,"&gt;50")</f>
        <v>7</v>
      </c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1:12" x14ac:dyDescent="0.25">
      <c r="A18" s="13" t="s">
        <v>30</v>
      </c>
      <c r="B18" s="5">
        <f>COUNTIFS(C2:C11,"&gt;60",D2:D11,"&gt;60")</f>
        <v>5</v>
      </c>
      <c r="C18" s="4"/>
      <c r="D18" s="4"/>
      <c r="E18" s="4"/>
      <c r="F18" s="4"/>
      <c r="G18" s="4"/>
      <c r="H18" s="4"/>
      <c r="I18" s="4"/>
      <c r="J18" s="4"/>
      <c r="K18" s="4"/>
      <c r="L18" s="4"/>
    </row>
    <row r="19" spans="1:12" x14ac:dyDescent="0.25">
      <c r="A19" s="12" t="s">
        <v>34</v>
      </c>
      <c r="B19" s="5">
        <f>AVERAGEIF(C2:C11,"&gt;60",C2:C11)</f>
        <v>82.666666666666671</v>
      </c>
      <c r="C19" s="4"/>
      <c r="D19" s="4"/>
      <c r="E19" s="4"/>
      <c r="F19" s="4"/>
      <c r="G19" s="4"/>
      <c r="H19" s="4"/>
      <c r="I19" s="4"/>
      <c r="J19" s="4"/>
      <c r="K19" s="4"/>
      <c r="L19" s="4"/>
    </row>
    <row r="20" spans="1:12" x14ac:dyDescent="0.25">
      <c r="A20" s="16"/>
      <c r="B20" s="2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1:12" x14ac:dyDescent="0.25">
      <c r="A21" s="12" t="s">
        <v>31</v>
      </c>
      <c r="B21" s="6" t="s">
        <v>13</v>
      </c>
      <c r="C21" s="4"/>
      <c r="D21" s="13" t="s">
        <v>32</v>
      </c>
      <c r="E21" s="5" t="str">
        <f>VLOOKUP(B21,A2:E11,2,FALSE())</f>
        <v>Vihaan Reddy</v>
      </c>
      <c r="F21" s="4"/>
      <c r="I21" s="4"/>
      <c r="J21" s="4"/>
      <c r="K21" s="4"/>
      <c r="L21" s="4"/>
    </row>
    <row r="22" spans="1:12" x14ac:dyDescent="0.25">
      <c r="A22" s="15"/>
      <c r="B22" s="5"/>
      <c r="C22" s="4"/>
      <c r="D22" s="13" t="s">
        <v>33</v>
      </c>
      <c r="E22" s="5">
        <f>INDEX(C2:C11,MATCH(B21,A2:A11,0))</f>
        <v>58</v>
      </c>
      <c r="F22" s="4"/>
      <c r="I22" s="4"/>
      <c r="J22" s="4"/>
      <c r="K22" s="4"/>
      <c r="L22" s="4"/>
    </row>
    <row r="23" spans="1:12" x14ac:dyDescent="0.25">
      <c r="A23" s="13" t="s">
        <v>120</v>
      </c>
      <c r="B23" s="5">
        <f>COUNTA(A1,A2:A11)</f>
        <v>11</v>
      </c>
      <c r="C23" s="4"/>
      <c r="D23" s="4"/>
      <c r="E23" s="4"/>
      <c r="F23" s="4"/>
      <c r="I23" s="4"/>
      <c r="J23" s="4"/>
      <c r="K23" s="4"/>
      <c r="L23" s="4"/>
    </row>
    <row r="24" spans="1:12" x14ac:dyDescent="0.25">
      <c r="A24" s="13" t="s">
        <v>121</v>
      </c>
      <c r="B24" s="7">
        <f>MAX(I2:I11)</f>
        <v>91.666666666666657</v>
      </c>
      <c r="C24" s="4"/>
      <c r="D24" s="4"/>
      <c r="E24" s="4"/>
      <c r="F24" s="4"/>
      <c r="G24" s="4"/>
      <c r="H24" s="4"/>
      <c r="I24" s="4"/>
      <c r="J24" s="4"/>
      <c r="K24" s="4"/>
      <c r="L24" s="4"/>
    </row>
    <row r="25" spans="1:12" x14ac:dyDescent="0.25">
      <c r="A25" s="16" t="s">
        <v>122</v>
      </c>
      <c r="B25" s="17">
        <f>COUNTIF(C2:E11,"&lt;35")</f>
        <v>1</v>
      </c>
      <c r="C25" s="2"/>
      <c r="D25" s="2"/>
    </row>
    <row r="26" spans="1:12" x14ac:dyDescent="0.25">
      <c r="C26" s="2"/>
      <c r="D26" s="2"/>
    </row>
    <row r="27" spans="1:12" x14ac:dyDescent="0.25">
      <c r="C27" s="2"/>
      <c r="D27" s="2"/>
    </row>
  </sheetData>
  <autoFilter ref="B1:E1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5"/>
  <sheetViews>
    <sheetView tabSelected="1" workbookViewId="0">
      <selection activeCell="F26" sqref="F26"/>
    </sheetView>
  </sheetViews>
  <sheetFormatPr defaultRowHeight="15" x14ac:dyDescent="0.25"/>
  <cols>
    <col min="1" max="1" width="66.42578125" bestFit="1" customWidth="1"/>
    <col min="2" max="2" width="12.140625" bestFit="1" customWidth="1"/>
    <col min="3" max="3" width="24.7109375" bestFit="1" customWidth="1"/>
    <col min="4" max="4" width="12.85546875" bestFit="1" customWidth="1"/>
    <col min="5" max="5" width="12.28515625" bestFit="1" customWidth="1"/>
    <col min="6" max="6" width="15.7109375" customWidth="1"/>
    <col min="7" max="7" width="19.28515625" bestFit="1" customWidth="1"/>
    <col min="8" max="8" width="12.28515625" bestFit="1" customWidth="1"/>
    <col min="9" max="9" width="14.7109375" customWidth="1"/>
    <col min="10" max="10" width="15.28515625" bestFit="1" customWidth="1"/>
    <col min="11" max="11" width="15.85546875" bestFit="1" customWidth="1"/>
    <col min="12" max="12" width="10.5703125" bestFit="1" customWidth="1"/>
  </cols>
  <sheetData>
    <row r="1" spans="1:11" x14ac:dyDescent="0.25">
      <c r="A1" s="11" t="s">
        <v>35</v>
      </c>
      <c r="B1" s="11" t="s">
        <v>36</v>
      </c>
      <c r="C1" s="11" t="s">
        <v>37</v>
      </c>
      <c r="D1" s="11" t="s">
        <v>38</v>
      </c>
      <c r="E1" s="11" t="s">
        <v>39</v>
      </c>
      <c r="F1" s="11" t="s">
        <v>40</v>
      </c>
      <c r="G1" s="11" t="s">
        <v>65</v>
      </c>
      <c r="H1" s="11" t="s">
        <v>123</v>
      </c>
      <c r="I1" s="11" t="s">
        <v>124</v>
      </c>
      <c r="J1" s="27" t="s">
        <v>125</v>
      </c>
      <c r="K1" s="15"/>
    </row>
    <row r="2" spans="1:11" x14ac:dyDescent="0.25">
      <c r="A2" s="6" t="s">
        <v>41</v>
      </c>
      <c r="B2" s="6" t="s">
        <v>42</v>
      </c>
      <c r="C2" s="6" t="s">
        <v>43</v>
      </c>
      <c r="D2" s="18">
        <v>55000</v>
      </c>
      <c r="E2" s="6">
        <v>3</v>
      </c>
      <c r="F2" s="19">
        <v>45669</v>
      </c>
      <c r="G2" s="5" t="str">
        <f>IF(D2&gt;20000,"10%",IF(D2&gt;5000,"5%","0%"))</f>
        <v>10%</v>
      </c>
      <c r="H2" s="5">
        <f>D2*E2</f>
        <v>165000</v>
      </c>
      <c r="I2" s="26">
        <f>F2+7</f>
        <v>45676</v>
      </c>
      <c r="J2" s="5">
        <f>I2-F2</f>
        <v>7</v>
      </c>
      <c r="K2" s="17"/>
    </row>
    <row r="3" spans="1:11" x14ac:dyDescent="0.25">
      <c r="A3" s="6" t="s">
        <v>44</v>
      </c>
      <c r="B3" s="6" t="s">
        <v>45</v>
      </c>
      <c r="C3" s="6" t="s">
        <v>46</v>
      </c>
      <c r="D3" s="18">
        <v>450</v>
      </c>
      <c r="E3" s="6">
        <v>25</v>
      </c>
      <c r="F3" s="19">
        <v>45691</v>
      </c>
      <c r="G3" s="5" t="str">
        <f t="shared" ref="G3:G11" si="0">IF(D3&gt;20000,"10%",IF(D3&gt;5000,"5%","0%"))</f>
        <v>0%</v>
      </c>
      <c r="H3" s="5">
        <f t="shared" ref="H3:H11" si="1">D3*E3</f>
        <v>11250</v>
      </c>
      <c r="I3" s="26">
        <f>F3+4</f>
        <v>45695</v>
      </c>
      <c r="J3" s="5">
        <f t="shared" ref="J3:J11" si="2">I3-F3</f>
        <v>4</v>
      </c>
      <c r="K3" s="17"/>
    </row>
    <row r="4" spans="1:11" x14ac:dyDescent="0.25">
      <c r="A4" s="6" t="s">
        <v>47</v>
      </c>
      <c r="B4" s="6" t="s">
        <v>48</v>
      </c>
      <c r="C4" s="6" t="s">
        <v>49</v>
      </c>
      <c r="D4" s="18">
        <v>900</v>
      </c>
      <c r="E4" s="6">
        <v>15</v>
      </c>
      <c r="F4" s="19">
        <v>45708</v>
      </c>
      <c r="G4" s="5" t="str">
        <f t="shared" si="0"/>
        <v>0%</v>
      </c>
      <c r="H4" s="5">
        <f t="shared" si="1"/>
        <v>13500</v>
      </c>
      <c r="I4" s="26">
        <f>F4+5</f>
        <v>45713</v>
      </c>
      <c r="J4" s="5">
        <f t="shared" si="2"/>
        <v>5</v>
      </c>
      <c r="K4" s="17"/>
    </row>
    <row r="5" spans="1:11" x14ac:dyDescent="0.25">
      <c r="A5" s="6" t="s">
        <v>50</v>
      </c>
      <c r="B5" s="6" t="s">
        <v>51</v>
      </c>
      <c r="C5" s="6" t="s">
        <v>52</v>
      </c>
      <c r="D5" s="18">
        <v>12000</v>
      </c>
      <c r="E5" s="6">
        <v>8</v>
      </c>
      <c r="F5" s="19">
        <v>45721</v>
      </c>
      <c r="G5" s="5" t="str">
        <f t="shared" si="0"/>
        <v>5%</v>
      </c>
      <c r="H5" s="5">
        <f t="shared" si="1"/>
        <v>96000</v>
      </c>
      <c r="I5" s="26">
        <f>F5+2</f>
        <v>45723</v>
      </c>
      <c r="J5" s="5">
        <f t="shared" si="2"/>
        <v>2</v>
      </c>
      <c r="K5" s="17"/>
    </row>
    <row r="6" spans="1:11" x14ac:dyDescent="0.25">
      <c r="A6" s="6" t="s">
        <v>53</v>
      </c>
      <c r="B6" s="6" t="s">
        <v>54</v>
      </c>
      <c r="C6" s="6" t="s">
        <v>43</v>
      </c>
      <c r="D6" s="18">
        <v>8500</v>
      </c>
      <c r="E6" s="6">
        <v>5</v>
      </c>
      <c r="F6" s="19">
        <v>45734</v>
      </c>
      <c r="G6" s="5" t="str">
        <f t="shared" si="0"/>
        <v>5%</v>
      </c>
      <c r="H6" s="5">
        <f t="shared" si="1"/>
        <v>42500</v>
      </c>
      <c r="I6" s="26">
        <f>F6+9</f>
        <v>45743</v>
      </c>
      <c r="J6" s="5">
        <f t="shared" si="2"/>
        <v>9</v>
      </c>
      <c r="K6" s="17"/>
    </row>
    <row r="7" spans="1:11" x14ac:dyDescent="0.25">
      <c r="A7" s="6" t="s">
        <v>55</v>
      </c>
      <c r="B7" s="6" t="s">
        <v>56</v>
      </c>
      <c r="C7" s="6" t="s">
        <v>46</v>
      </c>
      <c r="D7" s="18">
        <v>1500</v>
      </c>
      <c r="E7" s="6">
        <v>20</v>
      </c>
      <c r="F7" s="19">
        <v>45748</v>
      </c>
      <c r="G7" s="5" t="str">
        <f t="shared" si="0"/>
        <v>0%</v>
      </c>
      <c r="H7" s="5">
        <f t="shared" si="1"/>
        <v>30000</v>
      </c>
      <c r="I7" s="26">
        <f>F7+2</f>
        <v>45750</v>
      </c>
      <c r="J7" s="5">
        <f t="shared" si="2"/>
        <v>2</v>
      </c>
      <c r="K7" s="17"/>
    </row>
    <row r="8" spans="1:11" x14ac:dyDescent="0.25">
      <c r="A8" s="6" t="s">
        <v>57</v>
      </c>
      <c r="B8" s="6" t="s">
        <v>58</v>
      </c>
      <c r="C8" s="6" t="s">
        <v>49</v>
      </c>
      <c r="D8" s="18">
        <v>2200</v>
      </c>
      <c r="E8" s="6">
        <v>12</v>
      </c>
      <c r="F8" s="19">
        <v>45769</v>
      </c>
      <c r="G8" s="5" t="str">
        <f t="shared" si="0"/>
        <v>0%</v>
      </c>
      <c r="H8" s="5">
        <f t="shared" si="1"/>
        <v>26400</v>
      </c>
      <c r="I8" s="26">
        <f>F8+5</f>
        <v>45774</v>
      </c>
      <c r="J8" s="5">
        <f t="shared" si="2"/>
        <v>5</v>
      </c>
      <c r="K8" s="17"/>
    </row>
    <row r="9" spans="1:11" x14ac:dyDescent="0.25">
      <c r="A9" s="6" t="s">
        <v>59</v>
      </c>
      <c r="B9" s="6" t="s">
        <v>60</v>
      </c>
      <c r="C9" s="6" t="s">
        <v>52</v>
      </c>
      <c r="D9" s="18">
        <v>1800</v>
      </c>
      <c r="E9" s="6">
        <v>18</v>
      </c>
      <c r="F9" s="19">
        <v>45786</v>
      </c>
      <c r="G9" s="5" t="str">
        <f t="shared" si="0"/>
        <v>0%</v>
      </c>
      <c r="H9" s="5">
        <f t="shared" si="1"/>
        <v>32400</v>
      </c>
      <c r="I9" s="26">
        <f>F9+6</f>
        <v>45792</v>
      </c>
      <c r="J9" s="5">
        <f t="shared" si="2"/>
        <v>6</v>
      </c>
      <c r="K9" s="17"/>
    </row>
    <row r="10" spans="1:11" x14ac:dyDescent="0.25">
      <c r="A10" s="6" t="s">
        <v>61</v>
      </c>
      <c r="B10" s="6" t="s">
        <v>62</v>
      </c>
      <c r="C10" s="6" t="s">
        <v>43</v>
      </c>
      <c r="D10" s="18">
        <v>2500</v>
      </c>
      <c r="E10" s="6">
        <v>30</v>
      </c>
      <c r="F10" s="19">
        <v>45802</v>
      </c>
      <c r="G10" s="5" t="str">
        <f t="shared" si="0"/>
        <v>0%</v>
      </c>
      <c r="H10" s="5">
        <f t="shared" si="1"/>
        <v>75000</v>
      </c>
      <c r="I10" s="26">
        <f>F10+1</f>
        <v>45803</v>
      </c>
      <c r="J10" s="5">
        <f t="shared" si="2"/>
        <v>1</v>
      </c>
    </row>
    <row r="11" spans="1:11" x14ac:dyDescent="0.25">
      <c r="A11" s="6" t="s">
        <v>63</v>
      </c>
      <c r="B11" s="6" t="s">
        <v>64</v>
      </c>
      <c r="C11" s="6" t="s">
        <v>46</v>
      </c>
      <c r="D11" s="18">
        <v>21000</v>
      </c>
      <c r="E11" s="6">
        <v>4</v>
      </c>
      <c r="F11" s="19">
        <v>45822</v>
      </c>
      <c r="G11" s="5" t="str">
        <f t="shared" si="0"/>
        <v>10%</v>
      </c>
      <c r="H11" s="5">
        <f t="shared" si="1"/>
        <v>84000</v>
      </c>
      <c r="I11" s="26">
        <f>F11+4</f>
        <v>45826</v>
      </c>
      <c r="J11" s="5">
        <f t="shared" si="2"/>
        <v>4</v>
      </c>
    </row>
    <row r="12" spans="1:11" x14ac:dyDescent="0.25">
      <c r="A12" s="10"/>
      <c r="B12" s="10"/>
      <c r="C12" s="10"/>
      <c r="D12" s="10"/>
      <c r="E12" s="1"/>
      <c r="F12" s="1"/>
      <c r="K12" s="25"/>
    </row>
    <row r="13" spans="1:11" x14ac:dyDescent="0.25">
      <c r="A13" s="17"/>
      <c r="B13" s="17"/>
      <c r="C13" s="17"/>
      <c r="D13" s="17"/>
    </row>
    <row r="14" spans="1:11" x14ac:dyDescent="0.25">
      <c r="A14" s="5" t="s">
        <v>28</v>
      </c>
      <c r="B14" s="5"/>
      <c r="C14" s="5"/>
      <c r="D14" s="5"/>
      <c r="E14" s="13"/>
      <c r="F14" s="13"/>
    </row>
    <row r="15" spans="1:11" x14ac:dyDescent="0.25">
      <c r="A15" s="6" t="s">
        <v>66</v>
      </c>
      <c r="B15" s="5"/>
      <c r="C15" s="5"/>
      <c r="D15" s="5"/>
      <c r="E15" s="5"/>
      <c r="F15" s="5">
        <f>SUMIFS(D2:D11,C2:C11,"North",B2:B11,"Laptop")</f>
        <v>55000</v>
      </c>
    </row>
    <row r="16" spans="1:11" x14ac:dyDescent="0.25">
      <c r="A16" s="6" t="s">
        <v>67</v>
      </c>
      <c r="B16" s="5"/>
      <c r="C16" s="5"/>
      <c r="D16" s="5"/>
      <c r="E16" s="5"/>
      <c r="F16" s="5">
        <f>SUMIF(C2:C11,"South",E2:E11)</f>
        <v>49</v>
      </c>
    </row>
    <row r="17" spans="1:6" x14ac:dyDescent="0.25">
      <c r="A17" s="5"/>
      <c r="B17" s="5"/>
      <c r="C17" s="5"/>
      <c r="D17" s="5"/>
      <c r="E17" s="5"/>
      <c r="F17" s="5"/>
    </row>
    <row r="18" spans="1:6" x14ac:dyDescent="0.25">
      <c r="A18" s="5" t="s">
        <v>69</v>
      </c>
      <c r="B18" s="6" t="s">
        <v>50</v>
      </c>
      <c r="C18" s="5"/>
      <c r="D18" s="5"/>
      <c r="E18" s="5" t="s">
        <v>68</v>
      </c>
      <c r="F18" s="5">
        <f>VLOOKUP(B18,A2:D11,4,FALSE())</f>
        <v>12000</v>
      </c>
    </row>
    <row r="19" spans="1:6" x14ac:dyDescent="0.25">
      <c r="A19" s="5"/>
      <c r="B19" s="5"/>
      <c r="C19" s="5"/>
      <c r="D19" s="5"/>
      <c r="E19" s="5" t="s">
        <v>70</v>
      </c>
      <c r="F19" s="5" t="e">
        <f ca="1">xlookup(B18,A2:A11,B2:B11)</f>
        <v>#NAME?</v>
      </c>
    </row>
    <row r="20" spans="1:6" x14ac:dyDescent="0.25">
      <c r="A20" s="5"/>
      <c r="B20" s="5"/>
      <c r="C20" s="5"/>
      <c r="D20" s="5"/>
      <c r="E20" s="5" t="s">
        <v>33</v>
      </c>
      <c r="F20" s="5">
        <f>INDEX(E2:E11,MATCH(B18,A2:A11,0))</f>
        <v>8</v>
      </c>
    </row>
    <row r="21" spans="1:6" x14ac:dyDescent="0.25">
      <c r="A21" s="17"/>
      <c r="B21" s="17"/>
      <c r="C21" s="17"/>
      <c r="D21" s="17"/>
      <c r="E21" s="17"/>
      <c r="F21" s="17"/>
    </row>
    <row r="22" spans="1:6" x14ac:dyDescent="0.25">
      <c r="A22" s="17"/>
      <c r="B22" s="17"/>
      <c r="C22" s="17"/>
      <c r="D22" s="17"/>
    </row>
    <row r="23" spans="1:6" x14ac:dyDescent="0.25">
      <c r="A23" s="17"/>
      <c r="B23" s="17"/>
      <c r="C23" s="17"/>
      <c r="D23" s="17"/>
    </row>
    <row r="24" spans="1:6" x14ac:dyDescent="0.25">
      <c r="A24" s="6" t="s">
        <v>71</v>
      </c>
      <c r="B24" s="5"/>
      <c r="C24" s="5"/>
      <c r="D24" s="5"/>
      <c r="E24" s="2"/>
      <c r="F24">
        <f>SUMIFS(H:H,C:C,"North",B:B,"Laptop")</f>
        <v>165000</v>
      </c>
    </row>
    <row r="25" spans="1:6" x14ac:dyDescent="0.25">
      <c r="A25" s="6" t="s">
        <v>72</v>
      </c>
      <c r="B25" s="21">
        <v>0</v>
      </c>
      <c r="C25" s="22" t="s">
        <v>73</v>
      </c>
      <c r="D25" s="21">
        <v>3</v>
      </c>
      <c r="E25" s="2"/>
    </row>
    <row r="26" spans="1:6" x14ac:dyDescent="0.25">
      <c r="A26" s="6" t="s">
        <v>74</v>
      </c>
      <c r="B26" s="22">
        <f ca="1">SUM(OFFSET(D1,1+B25,0,D25,1))</f>
        <v>56350</v>
      </c>
      <c r="C26" s="20"/>
      <c r="D26" s="20"/>
      <c r="E26" s="2"/>
    </row>
    <row r="27" spans="1:6" x14ac:dyDescent="0.25">
      <c r="A27" s="5"/>
      <c r="B27" s="20"/>
      <c r="C27" s="20"/>
      <c r="D27" s="20"/>
      <c r="E27" s="2"/>
    </row>
    <row r="28" spans="1:6" x14ac:dyDescent="0.25">
      <c r="A28" s="6" t="s">
        <v>75</v>
      </c>
      <c r="B28" s="23">
        <f ca="1">INDIRECT("D2")</f>
        <v>55000</v>
      </c>
      <c r="C28" s="20"/>
      <c r="D28" s="20"/>
      <c r="E28" s="2"/>
    </row>
    <row r="29" spans="1:6" x14ac:dyDescent="0.25">
      <c r="A29" s="5"/>
      <c r="B29" s="20"/>
      <c r="C29" s="20"/>
      <c r="D29" s="20"/>
      <c r="E29" s="2"/>
    </row>
    <row r="30" spans="1:6" x14ac:dyDescent="0.25">
      <c r="A30" s="6" t="s">
        <v>76</v>
      </c>
      <c r="B30" s="20"/>
      <c r="C30" s="20"/>
      <c r="D30" s="20"/>
      <c r="E30" s="2"/>
    </row>
    <row r="31" spans="1:6" x14ac:dyDescent="0.25">
      <c r="A31" s="6" t="s">
        <v>77</v>
      </c>
      <c r="B31" s="23">
        <f>ROUND(AVERAGE(D2:D11),0)</f>
        <v>10585</v>
      </c>
      <c r="C31" s="20"/>
      <c r="D31" s="20"/>
      <c r="E31" s="2"/>
    </row>
    <row r="32" spans="1:6" x14ac:dyDescent="0.25">
      <c r="A32" s="6" t="s">
        <v>78</v>
      </c>
      <c r="B32" s="22">
        <f>CEILING(AVERAGE(D2:D11),100)</f>
        <v>10600</v>
      </c>
      <c r="C32" s="20"/>
      <c r="D32" s="20"/>
      <c r="E32" s="2"/>
    </row>
    <row r="33" spans="1:5" x14ac:dyDescent="0.25">
      <c r="A33" s="6" t="s">
        <v>79</v>
      </c>
      <c r="B33" s="22">
        <f>FLOOR(AVERAGE(D2:D11),100)</f>
        <v>10500</v>
      </c>
      <c r="C33" s="20"/>
      <c r="D33" s="20"/>
      <c r="E33" s="2"/>
    </row>
    <row r="34" spans="1:5" x14ac:dyDescent="0.25">
      <c r="A34" s="6" t="s">
        <v>126</v>
      </c>
      <c r="B34" s="3">
        <f>SUMIFS(H:H,C:C,"North",B:B,"Laptop")</f>
        <v>165000</v>
      </c>
      <c r="C34" s="3"/>
      <c r="D34" s="3"/>
    </row>
    <row r="35" spans="1:5" x14ac:dyDescent="0.25">
      <c r="A35" s="6" t="s">
        <v>127</v>
      </c>
      <c r="B35" s="3">
        <f>VLOOKUP("P005",A:H,6,FALSE)</f>
        <v>45734</v>
      </c>
      <c r="C35" s="3"/>
      <c r="D35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tabSelected="1" workbookViewId="0">
      <selection activeCell="F26" sqref="F26"/>
    </sheetView>
  </sheetViews>
  <sheetFormatPr defaultRowHeight="15" x14ac:dyDescent="0.25"/>
  <cols>
    <col min="1" max="1" width="61.140625" bestFit="1" customWidth="1"/>
    <col min="2" max="2" width="14.28515625" bestFit="1" customWidth="1"/>
    <col min="3" max="3" width="24.85546875" bestFit="1" customWidth="1"/>
    <col min="4" max="4" width="14" bestFit="1" customWidth="1"/>
    <col min="5" max="5" width="16.42578125" bestFit="1" customWidth="1"/>
    <col min="6" max="6" width="9" bestFit="1" customWidth="1"/>
    <col min="7" max="7" width="17.7109375" bestFit="1" customWidth="1"/>
    <col min="8" max="8" width="14.85546875" bestFit="1" customWidth="1"/>
    <col min="9" max="9" width="14.5703125" bestFit="1" customWidth="1"/>
    <col min="10" max="11" width="13.42578125" bestFit="1" customWidth="1"/>
  </cols>
  <sheetData>
    <row r="1" spans="1:11" x14ac:dyDescent="0.25">
      <c r="A1" s="11" t="s">
        <v>80</v>
      </c>
      <c r="B1" s="11" t="s">
        <v>81</v>
      </c>
      <c r="C1" s="11" t="s">
        <v>82</v>
      </c>
      <c r="D1" s="11" t="s">
        <v>83</v>
      </c>
      <c r="E1" s="11" t="s">
        <v>84</v>
      </c>
      <c r="F1" s="11" t="s">
        <v>101</v>
      </c>
      <c r="G1" s="11" t="s">
        <v>102</v>
      </c>
      <c r="H1" s="11" t="s">
        <v>103</v>
      </c>
      <c r="I1" s="11" t="s">
        <v>104</v>
      </c>
      <c r="J1" s="11" t="s">
        <v>105</v>
      </c>
      <c r="K1" s="11" t="s">
        <v>128</v>
      </c>
    </row>
    <row r="2" spans="1:11" x14ac:dyDescent="0.25">
      <c r="A2" s="6" t="s">
        <v>85</v>
      </c>
      <c r="B2" s="6" t="s">
        <v>86</v>
      </c>
      <c r="C2" s="19">
        <v>34801</v>
      </c>
      <c r="D2" s="19">
        <v>43617</v>
      </c>
      <c r="E2" s="18">
        <v>55000</v>
      </c>
      <c r="F2" s="5" t="str">
        <f>LEFT(B2,FIND(" ",B2)-1)</f>
        <v>Rohan</v>
      </c>
      <c r="G2" s="5" t="str">
        <f>UPPER(B2)</f>
        <v>ROHAN VERMA</v>
      </c>
      <c r="H2" s="5" t="str">
        <f>LOWER(B2)</f>
        <v>rohan verma</v>
      </c>
      <c r="I2" s="5">
        <f ca="1">DATEDIF(C2,TODAY(),"y")</f>
        <v>31</v>
      </c>
      <c r="J2" s="6">
        <f t="shared" ref="J2:J9" ca="1" si="0">TODAY()-D2</f>
        <v>2614</v>
      </c>
      <c r="K2" s="5" t="s">
        <v>130</v>
      </c>
    </row>
    <row r="3" spans="1:11" x14ac:dyDescent="0.25">
      <c r="A3" s="6" t="s">
        <v>87</v>
      </c>
      <c r="B3" s="6" t="s">
        <v>88</v>
      </c>
      <c r="C3" s="19">
        <v>33200</v>
      </c>
      <c r="D3" s="19">
        <v>42444</v>
      </c>
      <c r="E3" s="18">
        <v>72000</v>
      </c>
      <c r="F3" s="5" t="str">
        <f>LEFT(B3,FIND(" ",B3)-1)</f>
        <v>Priya</v>
      </c>
      <c r="G3" s="5" t="str">
        <f>UPPER(B3)</f>
        <v>PRIYA MALHOTRA</v>
      </c>
      <c r="H3" s="5" t="str">
        <f>LOWER(B3)</f>
        <v>priya malhotra</v>
      </c>
      <c r="I3" s="5">
        <f t="shared" ref="I3:I9" ca="1" si="1">DATEDIF(C3,TODAY(),"y")</f>
        <v>35</v>
      </c>
      <c r="J3" s="6">
        <f t="shared" ca="1" si="0"/>
        <v>3787</v>
      </c>
      <c r="K3" s="5" t="s">
        <v>130</v>
      </c>
    </row>
    <row r="4" spans="1:11" x14ac:dyDescent="0.25">
      <c r="A4" s="6" t="s">
        <v>89</v>
      </c>
      <c r="B4" s="6" t="s">
        <v>90</v>
      </c>
      <c r="C4" s="19">
        <v>35981</v>
      </c>
      <c r="D4" s="19">
        <v>44449</v>
      </c>
      <c r="E4" s="18">
        <v>48000</v>
      </c>
      <c r="F4" s="5" t="str">
        <f>LEFT(B4,FIND(" ",B4)-1)</f>
        <v>Karan</v>
      </c>
      <c r="G4" s="5" t="str">
        <f>UPPER(B4)</f>
        <v>KARAN MEHTA</v>
      </c>
      <c r="H4" s="5" t="str">
        <f>LOWER(B4)</f>
        <v>karan mehta</v>
      </c>
      <c r="I4" s="5">
        <f t="shared" ca="1" si="1"/>
        <v>28</v>
      </c>
      <c r="J4" s="6">
        <f t="shared" ca="1" si="0"/>
        <v>1782</v>
      </c>
      <c r="K4" s="5" t="s">
        <v>131</v>
      </c>
    </row>
    <row r="5" spans="1:11" x14ac:dyDescent="0.25">
      <c r="A5" s="6" t="s">
        <v>91</v>
      </c>
      <c r="B5" s="6" t="s">
        <v>92</v>
      </c>
      <c r="C5" s="19">
        <v>34017</v>
      </c>
      <c r="D5" s="19">
        <v>43122</v>
      </c>
      <c r="E5" s="18">
        <v>65000</v>
      </c>
      <c r="F5" s="5" t="str">
        <f>LEFT(B5,FIND(" ",B5)-1)</f>
        <v>Sneha</v>
      </c>
      <c r="G5" s="5" t="str">
        <f>UPPER(B5)</f>
        <v>SNEHA BHATT</v>
      </c>
      <c r="H5" s="5" t="str">
        <f>LOWER(B5)</f>
        <v>sneha bhatt</v>
      </c>
      <c r="I5" s="5">
        <f t="shared" ca="1" si="1"/>
        <v>33</v>
      </c>
      <c r="J5" s="6">
        <f t="shared" ca="1" si="0"/>
        <v>3109</v>
      </c>
      <c r="K5" s="5" t="s">
        <v>132</v>
      </c>
    </row>
    <row r="6" spans="1:11" x14ac:dyDescent="0.25">
      <c r="A6" s="6" t="s">
        <v>93</v>
      </c>
      <c r="B6" s="6" t="s">
        <v>94</v>
      </c>
      <c r="C6" s="19">
        <v>32416</v>
      </c>
      <c r="D6" s="19">
        <v>41398</v>
      </c>
      <c r="E6" s="18">
        <v>91000</v>
      </c>
      <c r="F6" s="5" t="str">
        <f>LEFT(B6,FIND(" ",B6)-1)</f>
        <v>Arjun</v>
      </c>
      <c r="G6" s="5" t="str">
        <f>UPPER(B6)</f>
        <v>ARJUN CHAWLA</v>
      </c>
      <c r="H6" s="5" t="str">
        <f>LOWER(B6)</f>
        <v>arjun chawla</v>
      </c>
      <c r="I6" s="5">
        <f t="shared" ca="1" si="1"/>
        <v>37</v>
      </c>
      <c r="J6" s="6">
        <f t="shared" ca="1" si="0"/>
        <v>4833</v>
      </c>
      <c r="K6" s="5" t="s">
        <v>129</v>
      </c>
    </row>
    <row r="7" spans="1:11" x14ac:dyDescent="0.25">
      <c r="A7" s="6" t="s">
        <v>95</v>
      </c>
      <c r="B7" s="6" t="s">
        <v>96</v>
      </c>
      <c r="C7" s="19">
        <v>35407</v>
      </c>
      <c r="D7" s="19">
        <v>44152</v>
      </c>
      <c r="E7" s="18">
        <v>52000</v>
      </c>
      <c r="F7" s="5" t="str">
        <f>LEFT(B7,FIND(" ",B7)-1)</f>
        <v>Neha</v>
      </c>
      <c r="G7" s="5" t="str">
        <f>UPPER(B7)</f>
        <v>NEHA KULKARNI</v>
      </c>
      <c r="H7" s="5" t="str">
        <f>LOWER(B7)</f>
        <v>neha kulkarni</v>
      </c>
      <c r="I7" s="5">
        <f t="shared" ca="1" si="1"/>
        <v>29</v>
      </c>
      <c r="J7" s="6">
        <f t="shared" ca="1" si="0"/>
        <v>2079</v>
      </c>
      <c r="K7" s="5" t="s">
        <v>129</v>
      </c>
    </row>
    <row r="8" spans="1:11" x14ac:dyDescent="0.25">
      <c r="A8" s="6" t="s">
        <v>97</v>
      </c>
      <c r="B8" s="6" t="s">
        <v>98</v>
      </c>
      <c r="C8" s="19">
        <v>31109</v>
      </c>
      <c r="D8" s="19">
        <v>40784</v>
      </c>
      <c r="E8" s="18">
        <v>105000</v>
      </c>
      <c r="F8" s="5" t="str">
        <f>LEFT(B8,FIND(" ",B8)-1)</f>
        <v>Vikram</v>
      </c>
      <c r="G8" s="5" t="str">
        <f>UPPER(B8)</f>
        <v>VIKRAM SETHI</v>
      </c>
      <c r="H8" s="5" t="str">
        <f>LOWER(B8)</f>
        <v>vikram sethi</v>
      </c>
      <c r="I8" s="5">
        <f t="shared" ca="1" si="1"/>
        <v>41</v>
      </c>
      <c r="J8" s="6">
        <f t="shared" ca="1" si="0"/>
        <v>5447</v>
      </c>
      <c r="K8" s="5" t="s">
        <v>132</v>
      </c>
    </row>
    <row r="9" spans="1:11" x14ac:dyDescent="0.25">
      <c r="A9" s="6" t="s">
        <v>99</v>
      </c>
      <c r="B9" s="6" t="s">
        <v>100</v>
      </c>
      <c r="C9" s="19">
        <v>36179</v>
      </c>
      <c r="D9" s="19">
        <v>44606</v>
      </c>
      <c r="E9" s="18">
        <v>42000</v>
      </c>
      <c r="F9" s="5" t="str">
        <f>LEFT(B9,FIND(" ",B9)-1)</f>
        <v>Pooja</v>
      </c>
      <c r="G9" s="5" t="str">
        <f>UPPER(B9)</f>
        <v>POOJA DESAI</v>
      </c>
      <c r="H9" s="5" t="str">
        <f>LOWER(B9)</f>
        <v>pooja desai</v>
      </c>
      <c r="I9" s="5">
        <f t="shared" ca="1" si="1"/>
        <v>27</v>
      </c>
      <c r="J9" s="6">
        <f t="shared" ca="1" si="0"/>
        <v>1625</v>
      </c>
      <c r="K9" s="5" t="s">
        <v>131</v>
      </c>
    </row>
    <row r="10" spans="1:11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2" spans="1:11" x14ac:dyDescent="0.25">
      <c r="A12" s="8" t="s">
        <v>28</v>
      </c>
      <c r="B12" s="9"/>
      <c r="C12" s="9"/>
      <c r="D12" s="9"/>
    </row>
    <row r="13" spans="1:11" x14ac:dyDescent="0.25">
      <c r="A13" s="5"/>
      <c r="B13" s="5"/>
      <c r="C13" s="5"/>
      <c r="D13" s="5"/>
    </row>
    <row r="14" spans="1:11" x14ac:dyDescent="0.25">
      <c r="A14" s="5" t="s">
        <v>106</v>
      </c>
      <c r="B14" s="6" t="s">
        <v>93</v>
      </c>
      <c r="C14" s="5" t="s">
        <v>107</v>
      </c>
      <c r="D14" s="5"/>
    </row>
    <row r="15" spans="1:11" x14ac:dyDescent="0.25">
      <c r="A15" s="5"/>
      <c r="B15" s="5"/>
      <c r="C15" s="5" t="s">
        <v>108</v>
      </c>
      <c r="D15" s="5">
        <f>INDEX(D2:D9,MATCH(B14,A2:A9,0))</f>
        <v>41398</v>
      </c>
    </row>
    <row r="16" spans="1:11" x14ac:dyDescent="0.25">
      <c r="A16" s="5"/>
      <c r="B16" s="5"/>
      <c r="C16" s="5" t="s">
        <v>109</v>
      </c>
      <c r="D16" s="5" t="str">
        <f>VLOOKUP(B14,A2:E9,2,FALSE)</f>
        <v>Arjun Chawla</v>
      </c>
    </row>
    <row r="17" spans="1:4" x14ac:dyDescent="0.25">
      <c r="A17" s="5"/>
      <c r="B17" s="5"/>
      <c r="C17" s="5"/>
      <c r="D17" s="5"/>
    </row>
    <row r="18" spans="1:4" x14ac:dyDescent="0.25">
      <c r="A18" s="5"/>
      <c r="B18" s="5"/>
      <c r="C18" s="5"/>
      <c r="D18" s="5"/>
    </row>
    <row r="19" spans="1:4" x14ac:dyDescent="0.25">
      <c r="A19" s="6" t="s">
        <v>110</v>
      </c>
      <c r="B19" s="5"/>
      <c r="C19" s="5"/>
      <c r="D19" s="5">
        <f>COUNTIF(E2:E9,"&gt;60000")</f>
        <v>4</v>
      </c>
    </row>
    <row r="20" spans="1:4" x14ac:dyDescent="0.25">
      <c r="A20" s="6" t="s">
        <v>111</v>
      </c>
      <c r="B20" s="5"/>
      <c r="C20" s="5"/>
      <c r="D20" s="5">
        <f>AVERAGEIFS(E2:E9,D2:D9,"&gt;"&amp;DATE(2018,1,1))</f>
        <v>52400</v>
      </c>
    </row>
    <row r="21" spans="1:4" x14ac:dyDescent="0.25">
      <c r="A21" s="5"/>
      <c r="B21" s="5"/>
      <c r="C21" s="5"/>
      <c r="D21" s="5"/>
    </row>
    <row r="22" spans="1:4" x14ac:dyDescent="0.25">
      <c r="A22" s="5"/>
      <c r="B22" s="5"/>
      <c r="C22" s="5"/>
      <c r="D22" s="5"/>
    </row>
    <row r="23" spans="1:4" x14ac:dyDescent="0.25">
      <c r="A23" s="5" t="s">
        <v>112</v>
      </c>
      <c r="B23" s="5"/>
      <c r="C23" s="5"/>
      <c r="D23" s="5"/>
    </row>
    <row r="24" spans="1:4" x14ac:dyDescent="0.25">
      <c r="A24" s="5" t="s">
        <v>113</v>
      </c>
      <c r="B24" s="5" t="s">
        <v>114</v>
      </c>
      <c r="C24" s="5" t="s">
        <v>115</v>
      </c>
      <c r="D24" s="5">
        <f ca="1">SUM(INDIRECT(B24))</f>
        <v>530000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Grade</vt:lpstr>
      <vt:lpstr>Sales data</vt:lpstr>
      <vt:lpstr>Employee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Education</dc:creator>
  <cp:lastModifiedBy>Pc4</cp:lastModifiedBy>
  <dcterms:created xsi:type="dcterms:W3CDTF">2026-07-09T05:16:45Z</dcterms:created>
  <dcterms:modified xsi:type="dcterms:W3CDTF">2026-07-28T09:44:00Z</dcterms:modified>
</cp:coreProperties>
</file>